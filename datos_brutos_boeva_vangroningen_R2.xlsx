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_muestra" sheetId="1" state="visible" r:id="rId3"/>
    <sheet name="Resumen_estadistic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<sst xmlns="http://schemas.openxmlformats.org/spreadsheetml/2006/main" count="209" uniqueCount="142">
  <si>
    <t xml:space="preserve">samplenames</t>
  </si>
  <si>
    <t xml:space="preserve">cell_type</t>
  </si>
  <si>
    <t xml:space="preserve">cell_line</t>
  </si>
  <si>
    <t xml:space="preserve">experiment_group</t>
  </si>
  <si>
    <t xml:space="preserve">lab_id</t>
  </si>
  <si>
    <t xml:space="preserve">extra_info</t>
  </si>
  <si>
    <t xml:space="preserve">s_mesadrn_adrn</t>
  </si>
  <si>
    <t xml:space="preserve">s_mesadrn_mes</t>
  </si>
  <si>
    <t xml:space="preserve">log2_ARPP21_1556599_s_at</t>
  </si>
  <si>
    <t xml:space="preserve">log2_DLG2_228973_at</t>
  </si>
  <si>
    <t xml:space="preserve">log2_AXL_202686_s_at</t>
  </si>
  <si>
    <t xml:space="preserve">log2_MYCN_209757_s_at</t>
  </si>
  <si>
    <t xml:space="preserve">GSM2413243</t>
  </si>
  <si>
    <t xml:space="preserve">adrn</t>
  </si>
  <si>
    <t xml:space="preserve">sh-sy5y</t>
  </si>
  <si>
    <t xml:space="preserve">pair</t>
  </si>
  <si>
    <t xml:space="preserve">itcc0396</t>
  </si>
  <si>
    <t xml:space="preserve">gsm692874</t>
  </si>
  <si>
    <t xml:space="preserve">GSM2413244</t>
  </si>
  <si>
    <t xml:space="preserve">amc691b</t>
  </si>
  <si>
    <t xml:space="preserve">nb0801</t>
  </si>
  <si>
    <t xml:space="preserve">GSM2413245</t>
  </si>
  <si>
    <t xml:space="preserve">amc717t</t>
  </si>
  <si>
    <t xml:space="preserve">nb0804</t>
  </si>
  <si>
    <t xml:space="preserve">GSM2413246</t>
  </si>
  <si>
    <t xml:space="preserve">700b-cd133negative</t>
  </si>
  <si>
    <t xml:space="preserve">nb0941</t>
  </si>
  <si>
    <t xml:space="preserve">GSM692854</t>
  </si>
  <si>
    <t xml:space="preserve">sknfi_(fisk)</t>
  </si>
  <si>
    <t xml:space="preserve">nb-celllines</t>
  </si>
  <si>
    <t xml:space="preserve">itcc0202</t>
  </si>
  <si>
    <t xml:space="preserve">GSM692859</t>
  </si>
  <si>
    <t xml:space="preserve">imr32</t>
  </si>
  <si>
    <t xml:space="preserve">itcc0208</t>
  </si>
  <si>
    <t xml:space="preserve">GSM692860</t>
  </si>
  <si>
    <t xml:space="preserve">sjnb8_(sj_8)</t>
  </si>
  <si>
    <t xml:space="preserve">itcc0209</t>
  </si>
  <si>
    <t xml:space="preserve">GSM692861</t>
  </si>
  <si>
    <t xml:space="preserve">sjnb10_(sj_10)</t>
  </si>
  <si>
    <t xml:space="preserve">itcc0211</t>
  </si>
  <si>
    <t xml:space="preserve">GSM692862</t>
  </si>
  <si>
    <t xml:space="preserve">nmb</t>
  </si>
  <si>
    <t xml:space="preserve">itcc0212</t>
  </si>
  <si>
    <t xml:space="preserve">GSM692863</t>
  </si>
  <si>
    <t xml:space="preserve">chp134</t>
  </si>
  <si>
    <t xml:space="preserve">itcc0213</t>
  </si>
  <si>
    <t xml:space="preserve">GSM692864</t>
  </si>
  <si>
    <t xml:space="preserve">sknsh</t>
  </si>
  <si>
    <t xml:space="preserve">itcc0214</t>
  </si>
  <si>
    <t xml:space="preserve">GSM692865</t>
  </si>
  <si>
    <t xml:space="preserve">ngp-c4</t>
  </si>
  <si>
    <t xml:space="preserve">itcc0215</t>
  </si>
  <si>
    <t xml:space="preserve">GSM692866</t>
  </si>
  <si>
    <t xml:space="preserve">kcnr</t>
  </si>
  <si>
    <t xml:space="preserve">itcc0225</t>
  </si>
  <si>
    <t xml:space="preserve">GSM692867</t>
  </si>
  <si>
    <t xml:space="preserve">n206</t>
  </si>
  <si>
    <t xml:space="preserve">itcc0226</t>
  </si>
  <si>
    <t xml:space="preserve">GSM692868</t>
  </si>
  <si>
    <t xml:space="preserve">tr_14</t>
  </si>
  <si>
    <t xml:space="preserve">itcc0286</t>
  </si>
  <si>
    <t xml:space="preserve">GSM692869</t>
  </si>
  <si>
    <t xml:space="preserve">sk-n-be</t>
  </si>
  <si>
    <t xml:space="preserve">itcc0305</t>
  </si>
  <si>
    <t xml:space="preserve">GSM692870</t>
  </si>
  <si>
    <t xml:space="preserve">sj1</t>
  </si>
  <si>
    <t xml:space="preserve">itcc0306</t>
  </si>
  <si>
    <t xml:space="preserve">GSM692871</t>
  </si>
  <si>
    <t xml:space="preserve">lan5</t>
  </si>
  <si>
    <t xml:space="preserve">itcc0345</t>
  </si>
  <si>
    <t xml:space="preserve">GSM692872</t>
  </si>
  <si>
    <t xml:space="preserve">lan1</t>
  </si>
  <si>
    <t xml:space="preserve">itcc0389</t>
  </si>
  <si>
    <t xml:space="preserve">GSM692873</t>
  </si>
  <si>
    <t xml:space="preserve">amc106_c</t>
  </si>
  <si>
    <t xml:space="preserve">itcc0395</t>
  </si>
  <si>
    <t xml:space="preserve">GSM692876</t>
  </si>
  <si>
    <t xml:space="preserve">uhgnp</t>
  </si>
  <si>
    <t xml:space="preserve">itcc0409</t>
  </si>
  <si>
    <t xml:space="preserve">GSM692877</t>
  </si>
  <si>
    <t xml:space="preserve">sj6</t>
  </si>
  <si>
    <t xml:space="preserve">itcc0416</t>
  </si>
  <si>
    <t xml:space="preserve">GSM2413239</t>
  </si>
  <si>
    <t xml:space="preserve">mes</t>
  </si>
  <si>
    <t xml:space="preserve">sh-ep2</t>
  </si>
  <si>
    <t xml:space="preserve">itcc0401</t>
  </si>
  <si>
    <t xml:space="preserve">GSM2413240</t>
  </si>
  <si>
    <t xml:space="preserve">amc691t</t>
  </si>
  <si>
    <t xml:space="preserve">nb0799</t>
  </si>
  <si>
    <t xml:space="preserve">GSM2413241</t>
  </si>
  <si>
    <t xml:space="preserve">700b-cd133positive</t>
  </si>
  <si>
    <t xml:space="preserve">nb0940</t>
  </si>
  <si>
    <t xml:space="preserve">gsm692875</t>
  </si>
  <si>
    <t xml:space="preserve">GSM2413242</t>
  </si>
  <si>
    <t xml:space="preserve">amc717t-mes</t>
  </si>
  <si>
    <t xml:space="preserve">nb2043</t>
  </si>
  <si>
    <t xml:space="preserve">profiling_2016</t>
  </si>
  <si>
    <t xml:space="preserve">GSM692855</t>
  </si>
  <si>
    <t xml:space="preserve">sknas_(nass)</t>
  </si>
  <si>
    <t xml:space="preserve">itcc0203</t>
  </si>
  <si>
    <t xml:space="preserve">GSM692856</t>
  </si>
  <si>
    <t xml:space="preserve">gi-men</t>
  </si>
  <si>
    <t xml:space="preserve">itcc0204</t>
  </si>
  <si>
    <t xml:space="preserve">GSM692857</t>
  </si>
  <si>
    <t xml:space="preserve">sjnb12</t>
  </si>
  <si>
    <t xml:space="preserve">itcc0205</t>
  </si>
  <si>
    <t xml:space="preserve">GSM358751</t>
  </si>
  <si>
    <t xml:space="preserve">neural_crest</t>
  </si>
  <si>
    <t xml:space="preserve">n4</t>
  </si>
  <si>
    <t xml:space="preserve">gsm358751</t>
  </si>
  <si>
    <t xml:space="preserve">enriched_human_trunk_neural_crest_cells</t>
  </si>
  <si>
    <t xml:space="preserve">GSM358752</t>
  </si>
  <si>
    <t xml:space="preserve">n5</t>
  </si>
  <si>
    <t xml:space="preserve">gsm358752</t>
  </si>
  <si>
    <t xml:space="preserve">GSM358745</t>
  </si>
  <si>
    <t xml:space="preserve">neural_crest_cell_line</t>
  </si>
  <si>
    <t xml:space="preserve">n1</t>
  </si>
  <si>
    <t xml:space="preserve">gsm358745</t>
  </si>
  <si>
    <t xml:space="preserve">enriched_neural_crest_cells</t>
  </si>
  <si>
    <t xml:space="preserve">GSM358747</t>
  </si>
  <si>
    <t xml:space="preserve">n2</t>
  </si>
  <si>
    <t xml:space="preserve">gsm358747</t>
  </si>
  <si>
    <t xml:space="preserve">enriched_trunk_neural_crest_cells</t>
  </si>
  <si>
    <t xml:space="preserve">GSM358750</t>
  </si>
  <si>
    <t xml:space="preserve">n3</t>
  </si>
  <si>
    <t xml:space="preserve">gsm358750</t>
  </si>
  <si>
    <t xml:space="preserve">Fuente: R2 Genomics Analysis and Visualization Platform (r2platform.com), dataset "Mixed Neuroblastoma (MES-ADRN-CREST)" (Versteeg/Etchevers, id ps_avgpres_gsenatgengeo34_u133p2). Valores de expresion en log2, extraidos de la herramienta "Correlate a gene with a track" (gen vs. cell_type) para cada uno de los 4 genes candidatos del TFM.</t>
  </si>
  <si>
    <t xml:space="preserve">Resumen estadistico por gen (ADRN vs. MES) — recalculado con formulas sobre Datos_muestra</t>
  </si>
  <si>
    <t xml:space="preserve">Gen</t>
  </si>
  <si>
    <t xml:space="preserve">n adrn</t>
  </si>
  <si>
    <t xml:space="preserve">n mes</t>
  </si>
  <si>
    <t xml:space="preserve">Media log2 adrn</t>
  </si>
  <si>
    <t xml:space="preserve">Media log2 mes</t>
  </si>
  <si>
    <t xml:space="preserve">Welch t-test p (adrn vs mes)</t>
  </si>
  <si>
    <t xml:space="preserve">Bonferroni (x6, reportado por R2)</t>
  </si>
  <si>
    <t xml:space="preserve">Fuente Bonferroni</t>
  </si>
  <si>
    <t xml:space="preserve">ARPP21</t>
  </si>
  <si>
    <t xml:space="preserve">R2 (Welch pairwise, Bonferroni x6 comparaciones)</t>
  </si>
  <si>
    <t xml:space="preserve">DLG2</t>
  </si>
  <si>
    <t xml:space="preserve">AXL</t>
  </si>
  <si>
    <t xml:space="preserve">MYCN</t>
  </si>
  <si>
    <t xml:space="preserve">La columna "Welch t-test p (adrn vs mes)" se recalcula en esta hoja con TTEST(...,2,3) directamente sobre los datos de la hoja Datos_muestra (sin corregir por comparaciones multiples) y debe coincidir con el p-valor Welch sin corregir que reporta R2. La columna "Bonferroni" es el valor que muestra la interfaz de R2 tras corregir por las 6 comparaciones por pares posibles entre las 4 categorias de cell_type (adrn/mes/neural_crest/neural_crest_cell_line); no se ha recalculado de forma independiente porque requeriria repetir tambien los otros 5 contrastes.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</si>
</sst>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General"/>
    <numFmt numFmtId="167" formatCode="0.000000"/>
    <numFmt numFmtId="168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EAF1FB"/>
        <bgColor rgb="FFEFF7EC"/>
      </patternFill>
    </fill>
    <fill>
      <patternFill patternType="solid">
        <fgColor rgb="FFFBEFE6"/>
        <bgColor rgb="FFEFF7EC"/>
      </patternFill>
    </fill>
    <fill>
      <patternFill patternType="solid">
        <fgColor rgb="FFEFF7EC"/>
        <bgColor rgb="FFEA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FF7E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F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2" min="9" style="0" width="2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n">
        <v>0.44</v>
      </c>
      <c r="H2" s="2" t="n">
        <v>-0.52</v>
      </c>
      <c r="I2" s="3" t="n">
        <v>1.3219</v>
      </c>
      <c r="J2" s="3" t="n">
        <v>3.8972</v>
      </c>
      <c r="K2" s="3" t="n">
        <v>2.5607</v>
      </c>
      <c r="L2" s="3" t="n">
        <v>3.8176</v>
      </c>
    </row>
    <row r="3" customFormat="false" ht="15" hidden="false" customHeight="false" outlineLevel="0" collapsed="false">
      <c r="A3" s="2" t="s">
        <v>18</v>
      </c>
      <c r="B3" s="2" t="s">
        <v>13</v>
      </c>
      <c r="C3" s="2" t="s">
        <v>19</v>
      </c>
      <c r="D3" s="2" t="s">
        <v>15</v>
      </c>
      <c r="E3" s="2" t="s">
        <v>20</v>
      </c>
      <c r="F3" s="2"/>
      <c r="G3" s="2" t="n">
        <v>0.85</v>
      </c>
      <c r="H3" s="2" t="n">
        <v>-0.78</v>
      </c>
      <c r="I3" s="3" t="n">
        <v>4.3576</v>
      </c>
      <c r="J3" s="3" t="n">
        <v>3.3923</v>
      </c>
      <c r="K3" s="3" t="n">
        <v>1.848</v>
      </c>
      <c r="L3" s="3" t="n">
        <v>12.0744</v>
      </c>
    </row>
    <row r="4" customFormat="false" ht="15" hidden="false" customHeight="false" outlineLevel="0" collapsed="false">
      <c r="A4" s="2" t="s">
        <v>21</v>
      </c>
      <c r="B4" s="2" t="s">
        <v>13</v>
      </c>
      <c r="C4" s="2" t="s">
        <v>22</v>
      </c>
      <c r="D4" s="2" t="s">
        <v>15</v>
      </c>
      <c r="E4" s="2" t="s">
        <v>23</v>
      </c>
      <c r="F4" s="2"/>
      <c r="G4" s="2" t="n">
        <v>0.83</v>
      </c>
      <c r="H4" s="2" t="n">
        <v>-0.62</v>
      </c>
      <c r="I4" s="3" t="n">
        <v>4.225</v>
      </c>
      <c r="J4" s="3" t="n">
        <v>5.8997</v>
      </c>
      <c r="K4" s="3" t="n">
        <v>4.2479</v>
      </c>
      <c r="L4" s="3" t="n">
        <v>11.9149</v>
      </c>
    </row>
    <row r="5" customFormat="false" ht="15" hidden="false" customHeight="false" outlineLevel="0" collapsed="false">
      <c r="A5" s="2" t="s">
        <v>24</v>
      </c>
      <c r="B5" s="2" t="s">
        <v>13</v>
      </c>
      <c r="C5" s="2" t="s">
        <v>25</v>
      </c>
      <c r="D5" s="2" t="s">
        <v>15</v>
      </c>
      <c r="E5" s="2" t="s">
        <v>26</v>
      </c>
      <c r="F5" s="2"/>
      <c r="G5" s="2" t="n">
        <v>0.63</v>
      </c>
      <c r="H5" s="2" t="n">
        <v>-0.05</v>
      </c>
      <c r="I5" s="3" t="n">
        <v>6.8202</v>
      </c>
      <c r="J5" s="3" t="n">
        <v>6.1659</v>
      </c>
      <c r="K5" s="3" t="n">
        <v>2.0356</v>
      </c>
      <c r="L5" s="3" t="n">
        <v>12.4863</v>
      </c>
    </row>
    <row r="6" customFormat="false" ht="15" hidden="false" customHeight="false" outlineLevel="0" collapsed="false">
      <c r="A6" s="2" t="s">
        <v>27</v>
      </c>
      <c r="B6" s="2" t="s">
        <v>13</v>
      </c>
      <c r="C6" s="2" t="s">
        <v>28</v>
      </c>
      <c r="D6" s="2" t="s">
        <v>29</v>
      </c>
      <c r="E6" s="2" t="s">
        <v>30</v>
      </c>
      <c r="F6" s="2"/>
      <c r="G6" s="2" t="n">
        <v>0.49</v>
      </c>
      <c r="H6" s="2" t="n">
        <v>-0.23</v>
      </c>
      <c r="I6" s="3" t="n">
        <v>1.848</v>
      </c>
      <c r="J6" s="3" t="n">
        <v>6.098</v>
      </c>
      <c r="K6" s="3" t="n">
        <v>3.7549</v>
      </c>
      <c r="L6" s="3" t="n">
        <v>10.9661</v>
      </c>
    </row>
    <row r="7" customFormat="false" ht="15" hidden="false" customHeight="false" outlineLevel="0" collapsed="false">
      <c r="A7" s="2" t="s">
        <v>31</v>
      </c>
      <c r="B7" s="2" t="s">
        <v>13</v>
      </c>
      <c r="C7" s="2" t="s">
        <v>32</v>
      </c>
      <c r="D7" s="2" t="s">
        <v>29</v>
      </c>
      <c r="E7" s="2" t="s">
        <v>33</v>
      </c>
      <c r="F7" s="2"/>
      <c r="G7" s="2" t="n">
        <v>0.14</v>
      </c>
      <c r="H7" s="2" t="n">
        <v>-0.23</v>
      </c>
      <c r="I7" s="3" t="n">
        <v>3.3074</v>
      </c>
      <c r="J7" s="3" t="n">
        <v>1.2016</v>
      </c>
      <c r="K7" s="3" t="n">
        <v>3.5361</v>
      </c>
      <c r="L7" s="3" t="n">
        <v>12.0371</v>
      </c>
    </row>
    <row r="8" customFormat="false" ht="15" hidden="false" customHeight="false" outlineLevel="0" collapsed="false">
      <c r="A8" s="2" t="s">
        <v>34</v>
      </c>
      <c r="B8" s="2" t="s">
        <v>13</v>
      </c>
      <c r="C8" s="2" t="s">
        <v>35</v>
      </c>
      <c r="D8" s="2" t="s">
        <v>29</v>
      </c>
      <c r="E8" s="2" t="s">
        <v>36</v>
      </c>
      <c r="F8" s="2"/>
      <c r="G8" s="2" t="n">
        <v>0.1</v>
      </c>
      <c r="H8" s="2" t="n">
        <v>0.05</v>
      </c>
      <c r="I8" s="3" t="n">
        <v>1.0704</v>
      </c>
      <c r="J8" s="3" t="n">
        <v>3.6781</v>
      </c>
      <c r="K8" s="3" t="n">
        <v>3.0531</v>
      </c>
      <c r="L8" s="3" t="n">
        <v>12.2877</v>
      </c>
    </row>
    <row r="9" customFormat="false" ht="15" hidden="false" customHeight="false" outlineLevel="0" collapsed="false">
      <c r="A9" s="2" t="s">
        <v>37</v>
      </c>
      <c r="B9" s="2" t="s">
        <v>13</v>
      </c>
      <c r="C9" s="2" t="s">
        <v>38</v>
      </c>
      <c r="D9" s="2" t="s">
        <v>29</v>
      </c>
      <c r="E9" s="2" t="s">
        <v>39</v>
      </c>
      <c r="F9" s="2"/>
      <c r="G9" s="2" t="n">
        <v>0.42</v>
      </c>
      <c r="H9" s="2" t="n">
        <v>-0.31</v>
      </c>
      <c r="I9" s="3" t="n">
        <v>0.585</v>
      </c>
      <c r="J9" s="3" t="n">
        <v>2.6323</v>
      </c>
      <c r="K9" s="3" t="n">
        <v>2.9635</v>
      </c>
      <c r="L9" s="3" t="n">
        <v>12.2932</v>
      </c>
    </row>
    <row r="10" customFormat="false" ht="15" hidden="false" customHeight="false" outlineLevel="0" collapsed="false">
      <c r="A10" s="2" t="s">
        <v>40</v>
      </c>
      <c r="B10" s="2" t="s">
        <v>13</v>
      </c>
      <c r="C10" s="2" t="s">
        <v>41</v>
      </c>
      <c r="D10" s="2" t="s">
        <v>29</v>
      </c>
      <c r="E10" s="2" t="s">
        <v>42</v>
      </c>
      <c r="F10" s="2"/>
      <c r="G10" s="2" t="n">
        <v>0.22</v>
      </c>
      <c r="H10" s="2" t="n">
        <v>-0.35</v>
      </c>
      <c r="I10" s="3" t="n">
        <v>2.1043</v>
      </c>
      <c r="J10" s="3" t="n">
        <v>3.4725</v>
      </c>
      <c r="K10" s="3" t="n">
        <v>1.433</v>
      </c>
      <c r="L10" s="3" t="n">
        <v>12.1826</v>
      </c>
    </row>
    <row r="11" customFormat="false" ht="15" hidden="false" customHeight="false" outlineLevel="0" collapsed="false">
      <c r="A11" s="2" t="s">
        <v>43</v>
      </c>
      <c r="B11" s="2" t="s">
        <v>13</v>
      </c>
      <c r="C11" s="2" t="s">
        <v>44</v>
      </c>
      <c r="D11" s="2" t="s">
        <v>29</v>
      </c>
      <c r="E11" s="2" t="s">
        <v>45</v>
      </c>
      <c r="F11" s="2"/>
      <c r="G11" s="2" t="n">
        <v>0.39</v>
      </c>
      <c r="H11" s="2" t="n">
        <v>-0.61</v>
      </c>
      <c r="I11" s="3" t="n">
        <v>3.858</v>
      </c>
      <c r="J11" s="3" t="n">
        <v>0.926</v>
      </c>
      <c r="K11" s="3" t="n">
        <v>2.848</v>
      </c>
      <c r="L11" s="3" t="n">
        <v>12.2616</v>
      </c>
    </row>
    <row r="12" customFormat="false" ht="15" hidden="false" customHeight="false" outlineLevel="0" collapsed="false">
      <c r="A12" s="2" t="s">
        <v>46</v>
      </c>
      <c r="B12" s="2" t="s">
        <v>13</v>
      </c>
      <c r="C12" s="2" t="s">
        <v>47</v>
      </c>
      <c r="D12" s="2" t="s">
        <v>29</v>
      </c>
      <c r="E12" s="2" t="s">
        <v>48</v>
      </c>
      <c r="F12" s="2"/>
      <c r="G12" s="2" t="n">
        <v>0.53</v>
      </c>
      <c r="H12" s="2" t="n">
        <v>-0.28</v>
      </c>
      <c r="I12" s="3" t="n">
        <v>1.6781</v>
      </c>
      <c r="J12" s="3" t="n">
        <v>3.4195</v>
      </c>
      <c r="K12" s="3" t="n">
        <v>5.6235</v>
      </c>
      <c r="L12" s="3" t="n">
        <v>7.4774</v>
      </c>
    </row>
    <row r="13" customFormat="false" ht="15" hidden="false" customHeight="false" outlineLevel="0" collapsed="false">
      <c r="A13" s="2" t="s">
        <v>49</v>
      </c>
      <c r="B13" s="2" t="s">
        <v>13</v>
      </c>
      <c r="C13" s="2" t="s">
        <v>50</v>
      </c>
      <c r="D13" s="2" t="s">
        <v>29</v>
      </c>
      <c r="E13" s="2" t="s">
        <v>51</v>
      </c>
      <c r="F13" s="2"/>
      <c r="G13" s="2" t="n">
        <v>0.59</v>
      </c>
      <c r="H13" s="2" t="n">
        <v>-0.61</v>
      </c>
      <c r="I13" s="3" t="n">
        <v>3.926</v>
      </c>
      <c r="J13" s="3" t="n">
        <v>3.3785</v>
      </c>
      <c r="K13" s="3" t="n">
        <v>1.7225</v>
      </c>
      <c r="L13" s="3" t="n">
        <v>12.4788</v>
      </c>
    </row>
    <row r="14" customFormat="false" ht="15" hidden="false" customHeight="false" outlineLevel="0" collapsed="false">
      <c r="A14" s="2" t="s">
        <v>52</v>
      </c>
      <c r="B14" s="2" t="s">
        <v>13</v>
      </c>
      <c r="C14" s="2" t="s">
        <v>53</v>
      </c>
      <c r="D14" s="2" t="s">
        <v>29</v>
      </c>
      <c r="E14" s="2" t="s">
        <v>54</v>
      </c>
      <c r="F14" s="2"/>
      <c r="G14" s="2" t="n">
        <v>0.61</v>
      </c>
      <c r="H14" s="2" t="n">
        <v>-0.51</v>
      </c>
      <c r="I14" s="3" t="n">
        <v>3.7334</v>
      </c>
      <c r="J14" s="3" t="n">
        <v>1.433</v>
      </c>
      <c r="K14" s="3" t="n">
        <v>1.6781</v>
      </c>
      <c r="L14" s="3" t="n">
        <v>12.1932</v>
      </c>
    </row>
    <row r="15" customFormat="false" ht="15" hidden="false" customHeight="false" outlineLevel="0" collapsed="false">
      <c r="A15" s="2" t="s">
        <v>55</v>
      </c>
      <c r="B15" s="2" t="s">
        <v>13</v>
      </c>
      <c r="C15" s="2" t="s">
        <v>56</v>
      </c>
      <c r="D15" s="2" t="s">
        <v>29</v>
      </c>
      <c r="E15" s="2" t="s">
        <v>57</v>
      </c>
      <c r="F15" s="2"/>
      <c r="G15" s="2" t="n">
        <v>0.4</v>
      </c>
      <c r="H15" s="2" t="n">
        <v>-0.55</v>
      </c>
      <c r="I15" s="3" t="n">
        <v>2.4594</v>
      </c>
      <c r="J15" s="3" t="n">
        <v>2.9819</v>
      </c>
      <c r="K15" s="3" t="n">
        <v>1.5361</v>
      </c>
      <c r="L15" s="3" t="n">
        <v>12.4798</v>
      </c>
    </row>
    <row r="16" customFormat="false" ht="15" hidden="false" customHeight="false" outlineLevel="0" collapsed="false">
      <c r="A16" s="2" t="s">
        <v>58</v>
      </c>
      <c r="B16" s="2" t="s">
        <v>13</v>
      </c>
      <c r="C16" s="2" t="s">
        <v>59</v>
      </c>
      <c r="D16" s="2" t="s">
        <v>29</v>
      </c>
      <c r="E16" s="2" t="s">
        <v>60</v>
      </c>
      <c r="F16" s="2"/>
      <c r="G16" s="2" t="n">
        <v>0.33</v>
      </c>
      <c r="H16" s="2" t="n">
        <v>0</v>
      </c>
      <c r="I16" s="3" t="n">
        <v>1.1375</v>
      </c>
      <c r="J16" s="3" t="n">
        <v>0.7655</v>
      </c>
      <c r="K16" s="3" t="n">
        <v>3.3363</v>
      </c>
      <c r="L16" s="3" t="n">
        <v>12.3134</v>
      </c>
    </row>
    <row r="17" customFormat="false" ht="15" hidden="false" customHeight="false" outlineLevel="0" collapsed="false">
      <c r="A17" s="2" t="s">
        <v>61</v>
      </c>
      <c r="B17" s="2" t="s">
        <v>13</v>
      </c>
      <c r="C17" s="2" t="s">
        <v>62</v>
      </c>
      <c r="D17" s="2" t="s">
        <v>29</v>
      </c>
      <c r="E17" s="2" t="s">
        <v>63</v>
      </c>
      <c r="F17" s="2"/>
      <c r="G17" s="2" t="n">
        <v>0.47</v>
      </c>
      <c r="H17" s="2" t="n">
        <v>-0.31</v>
      </c>
      <c r="I17" s="3" t="n">
        <v>2.7442</v>
      </c>
      <c r="J17" s="3" t="n">
        <v>1.4854</v>
      </c>
      <c r="K17" s="3" t="n">
        <v>4.5969</v>
      </c>
      <c r="L17" s="3" t="n">
        <v>12.2206</v>
      </c>
    </row>
    <row r="18" customFormat="false" ht="15" hidden="false" customHeight="false" outlineLevel="0" collapsed="false">
      <c r="A18" s="2" t="s">
        <v>64</v>
      </c>
      <c r="B18" s="2" t="s">
        <v>13</v>
      </c>
      <c r="C18" s="2" t="s">
        <v>65</v>
      </c>
      <c r="D18" s="2" t="s">
        <v>29</v>
      </c>
      <c r="E18" s="2" t="s">
        <v>66</v>
      </c>
      <c r="F18" s="2"/>
      <c r="G18" s="2" t="n">
        <v>0.43</v>
      </c>
      <c r="H18" s="2" t="n">
        <v>-0.38</v>
      </c>
      <c r="I18" s="3" t="n">
        <v>2.6781</v>
      </c>
      <c r="J18" s="3" t="n">
        <v>3.2479</v>
      </c>
      <c r="K18" s="3" t="n">
        <v>3.2016</v>
      </c>
      <c r="L18" s="3" t="n">
        <v>8.5895</v>
      </c>
    </row>
    <row r="19" customFormat="false" ht="15" hidden="false" customHeight="false" outlineLevel="0" collapsed="false">
      <c r="A19" s="2" t="s">
        <v>67</v>
      </c>
      <c r="B19" s="2" t="s">
        <v>13</v>
      </c>
      <c r="C19" s="2" t="s">
        <v>68</v>
      </c>
      <c r="D19" s="2" t="s">
        <v>29</v>
      </c>
      <c r="E19" s="2" t="s">
        <v>69</v>
      </c>
      <c r="F19" s="2"/>
      <c r="G19" s="2" t="n">
        <v>0.68</v>
      </c>
      <c r="H19" s="2" t="n">
        <v>-0.5</v>
      </c>
      <c r="I19" s="3" t="n">
        <v>2.9635</v>
      </c>
      <c r="J19" s="3" t="n">
        <v>0.585</v>
      </c>
      <c r="K19" s="3" t="n">
        <v>4.7549</v>
      </c>
      <c r="L19" s="3" t="n">
        <v>11.923</v>
      </c>
    </row>
    <row r="20" customFormat="false" ht="15" hidden="false" customHeight="false" outlineLevel="0" collapsed="false">
      <c r="A20" s="2" t="s">
        <v>70</v>
      </c>
      <c r="B20" s="2" t="s">
        <v>13</v>
      </c>
      <c r="C20" s="2" t="s">
        <v>71</v>
      </c>
      <c r="D20" s="2" t="s">
        <v>29</v>
      </c>
      <c r="E20" s="2" t="s">
        <v>72</v>
      </c>
      <c r="F20" s="2"/>
      <c r="G20" s="2" t="n">
        <v>0.44</v>
      </c>
      <c r="H20" s="2" t="n">
        <v>-0.59</v>
      </c>
      <c r="I20" s="3" t="n">
        <v>3.4983</v>
      </c>
      <c r="J20" s="3" t="n">
        <v>1</v>
      </c>
      <c r="K20" s="3" t="n">
        <v>2.263</v>
      </c>
      <c r="L20" s="3" t="n">
        <v>12.664</v>
      </c>
    </row>
    <row r="21" customFormat="false" ht="15" hidden="false" customHeight="false" outlineLevel="0" collapsed="false">
      <c r="A21" s="2" t="s">
        <v>73</v>
      </c>
      <c r="B21" s="2" t="s">
        <v>13</v>
      </c>
      <c r="C21" s="2" t="s">
        <v>74</v>
      </c>
      <c r="D21" s="2" t="s">
        <v>29</v>
      </c>
      <c r="E21" s="2" t="s">
        <v>75</v>
      </c>
      <c r="F21" s="2"/>
      <c r="G21" s="2" t="n">
        <v>0.5</v>
      </c>
      <c r="H21" s="2" t="n">
        <v>-0.54</v>
      </c>
      <c r="I21" s="3" t="n">
        <v>3.0179</v>
      </c>
      <c r="J21" s="3" t="n">
        <v>3.0179</v>
      </c>
      <c r="K21" s="3" t="n">
        <v>2.9069</v>
      </c>
      <c r="L21" s="3" t="n">
        <v>12.0857</v>
      </c>
    </row>
    <row r="22" customFormat="false" ht="15" hidden="false" customHeight="false" outlineLevel="0" collapsed="false">
      <c r="A22" s="2" t="s">
        <v>76</v>
      </c>
      <c r="B22" s="2" t="s">
        <v>13</v>
      </c>
      <c r="C22" s="2" t="s">
        <v>77</v>
      </c>
      <c r="D22" s="2" t="s">
        <v>29</v>
      </c>
      <c r="E22" s="2" t="s">
        <v>78</v>
      </c>
      <c r="F22" s="2"/>
      <c r="G22" s="2" t="n">
        <v>0.38</v>
      </c>
      <c r="H22" s="2" t="n">
        <v>-0.68</v>
      </c>
      <c r="I22" s="3" t="n">
        <v>3.1043</v>
      </c>
      <c r="J22" s="3" t="n">
        <v>4.9449</v>
      </c>
      <c r="K22" s="3" t="n">
        <v>1</v>
      </c>
      <c r="L22" s="3" t="n">
        <v>12.2551</v>
      </c>
    </row>
    <row r="23" customFormat="false" ht="15" hidden="false" customHeight="false" outlineLevel="0" collapsed="false">
      <c r="A23" s="2" t="s">
        <v>79</v>
      </c>
      <c r="B23" s="2" t="s">
        <v>13</v>
      </c>
      <c r="C23" s="2" t="s">
        <v>80</v>
      </c>
      <c r="D23" s="2" t="s">
        <v>29</v>
      </c>
      <c r="E23" s="2" t="s">
        <v>81</v>
      </c>
      <c r="F23" s="2"/>
      <c r="G23" s="2" t="n">
        <v>0.03</v>
      </c>
      <c r="H23" s="2" t="n">
        <v>-0.4</v>
      </c>
      <c r="I23" s="3" t="n">
        <v>2.7866</v>
      </c>
      <c r="J23" s="3" t="n">
        <v>1.263</v>
      </c>
      <c r="K23" s="3" t="n">
        <v>3.7442</v>
      </c>
      <c r="L23" s="3" t="n">
        <v>12.0884</v>
      </c>
    </row>
    <row r="24" customFormat="false" ht="15" hidden="false" customHeight="false" outlineLevel="0" collapsed="false">
      <c r="A24" s="4" t="s">
        <v>82</v>
      </c>
      <c r="B24" s="4" t="s">
        <v>83</v>
      </c>
      <c r="C24" s="4" t="s">
        <v>84</v>
      </c>
      <c r="D24" s="4" t="s">
        <v>15</v>
      </c>
      <c r="E24" s="4" t="s">
        <v>85</v>
      </c>
      <c r="F24" s="4"/>
      <c r="G24" s="4" t="n">
        <v>-1.06</v>
      </c>
      <c r="H24" s="4" t="n">
        <v>0.77</v>
      </c>
      <c r="I24" s="5" t="n">
        <v>2.7655</v>
      </c>
      <c r="J24" s="5" t="n">
        <v>0.848</v>
      </c>
      <c r="K24" s="5" t="n">
        <v>9.5361</v>
      </c>
      <c r="L24" s="5" t="n">
        <v>5.6294</v>
      </c>
    </row>
    <row r="25" customFormat="false" ht="15" hidden="false" customHeight="false" outlineLevel="0" collapsed="false">
      <c r="A25" s="4" t="s">
        <v>86</v>
      </c>
      <c r="B25" s="4" t="s">
        <v>83</v>
      </c>
      <c r="C25" s="4" t="s">
        <v>87</v>
      </c>
      <c r="D25" s="4" t="s">
        <v>15</v>
      </c>
      <c r="E25" s="4" t="s">
        <v>88</v>
      </c>
      <c r="F25" s="4"/>
      <c r="G25" s="4" t="n">
        <v>-0.99</v>
      </c>
      <c r="H25" s="4" t="n">
        <v>0.91</v>
      </c>
      <c r="I25" s="5" t="n">
        <v>0.3785</v>
      </c>
      <c r="J25" s="5" t="n">
        <v>3.5969</v>
      </c>
      <c r="K25" s="5" t="n">
        <v>3.4463</v>
      </c>
      <c r="L25" s="5" t="n">
        <v>12.6264</v>
      </c>
    </row>
    <row r="26" customFormat="false" ht="15" hidden="false" customHeight="false" outlineLevel="0" collapsed="false">
      <c r="A26" s="4" t="s">
        <v>89</v>
      </c>
      <c r="B26" s="4" t="s">
        <v>83</v>
      </c>
      <c r="C26" s="4" t="s">
        <v>90</v>
      </c>
      <c r="D26" s="4" t="s">
        <v>15</v>
      </c>
      <c r="E26" s="4" t="s">
        <v>91</v>
      </c>
      <c r="F26" s="4" t="s">
        <v>92</v>
      </c>
      <c r="G26" s="4" t="n">
        <v>-0.12</v>
      </c>
      <c r="H26" s="4" t="n">
        <v>0.97</v>
      </c>
      <c r="I26" s="5" t="n">
        <v>6.5925</v>
      </c>
      <c r="J26" s="5" t="n">
        <v>6.0938</v>
      </c>
      <c r="K26" s="5" t="n">
        <v>3.5484</v>
      </c>
      <c r="L26" s="5" t="n">
        <v>12.4372</v>
      </c>
    </row>
    <row r="27" customFormat="false" ht="15" hidden="false" customHeight="false" outlineLevel="0" collapsed="false">
      <c r="A27" s="4" t="s">
        <v>93</v>
      </c>
      <c r="B27" s="4" t="s">
        <v>83</v>
      </c>
      <c r="C27" s="4" t="s">
        <v>94</v>
      </c>
      <c r="D27" s="4" t="s">
        <v>15</v>
      </c>
      <c r="E27" s="4" t="s">
        <v>95</v>
      </c>
      <c r="F27" s="4" t="s">
        <v>96</v>
      </c>
      <c r="G27" s="4" t="n">
        <v>-1</v>
      </c>
      <c r="H27" s="4" t="n">
        <v>1.26</v>
      </c>
      <c r="I27" s="5" t="n">
        <v>1.6323</v>
      </c>
      <c r="J27" s="5" t="n">
        <v>6.9189</v>
      </c>
      <c r="K27" s="5" t="n">
        <v>4.511</v>
      </c>
      <c r="L27" s="5" t="n">
        <v>12.1089</v>
      </c>
    </row>
    <row r="28" customFormat="false" ht="15" hidden="false" customHeight="false" outlineLevel="0" collapsed="false">
      <c r="A28" s="4" t="s">
        <v>97</v>
      </c>
      <c r="B28" s="4" t="s">
        <v>83</v>
      </c>
      <c r="C28" s="4" t="s">
        <v>98</v>
      </c>
      <c r="D28" s="4" t="s">
        <v>29</v>
      </c>
      <c r="E28" s="4" t="s">
        <v>99</v>
      </c>
      <c r="F28" s="4"/>
      <c r="G28" s="4" t="n">
        <v>-0.48</v>
      </c>
      <c r="H28" s="4" t="n">
        <v>0.47</v>
      </c>
      <c r="I28" s="5" t="n">
        <v>2.7225</v>
      </c>
      <c r="J28" s="5" t="n">
        <v>2.406</v>
      </c>
      <c r="K28" s="5" t="n">
        <v>9.2259</v>
      </c>
      <c r="L28" s="5" t="n">
        <v>3</v>
      </c>
    </row>
    <row r="29" customFormat="false" ht="15" hidden="false" customHeight="false" outlineLevel="0" collapsed="false">
      <c r="A29" s="4" t="s">
        <v>100</v>
      </c>
      <c r="B29" s="4" t="s">
        <v>83</v>
      </c>
      <c r="C29" s="4" t="s">
        <v>101</v>
      </c>
      <c r="D29" s="4" t="s">
        <v>29</v>
      </c>
      <c r="E29" s="4" t="s">
        <v>102</v>
      </c>
      <c r="F29" s="4"/>
      <c r="G29" s="4" t="n">
        <v>-0.82</v>
      </c>
      <c r="H29" s="4" t="n">
        <v>0.51</v>
      </c>
      <c r="I29" s="5" t="n">
        <v>4.7004</v>
      </c>
      <c r="J29" s="5" t="n">
        <v>1</v>
      </c>
      <c r="K29" s="5" t="n">
        <v>11.1492</v>
      </c>
      <c r="L29" s="5" t="n">
        <v>1.6781</v>
      </c>
    </row>
    <row r="30" customFormat="false" ht="15" hidden="false" customHeight="false" outlineLevel="0" collapsed="false">
      <c r="A30" s="4" t="s">
        <v>103</v>
      </c>
      <c r="B30" s="4" t="s">
        <v>83</v>
      </c>
      <c r="C30" s="4" t="s">
        <v>104</v>
      </c>
      <c r="D30" s="4" t="s">
        <v>29</v>
      </c>
      <c r="E30" s="4" t="s">
        <v>105</v>
      </c>
      <c r="F30" s="4"/>
      <c r="G30" s="4" t="n">
        <v>-0.22</v>
      </c>
      <c r="H30" s="4" t="n">
        <v>0.02</v>
      </c>
      <c r="I30" s="5" t="n">
        <v>2.5607</v>
      </c>
      <c r="J30" s="5" t="n">
        <v>2</v>
      </c>
      <c r="K30" s="5" t="n">
        <v>3.5484</v>
      </c>
      <c r="L30" s="5" t="n">
        <v>8.6213</v>
      </c>
    </row>
    <row r="31" customFormat="false" ht="15" hidden="false" customHeight="false" outlineLevel="0" collapsed="false">
      <c r="A31" s="6" t="s">
        <v>106</v>
      </c>
      <c r="B31" s="6" t="s">
        <v>107</v>
      </c>
      <c r="C31" s="6" t="s">
        <v>108</v>
      </c>
      <c r="D31" s="6" t="s">
        <v>107</v>
      </c>
      <c r="E31" s="6" t="s">
        <v>109</v>
      </c>
      <c r="F31" s="6" t="s">
        <v>110</v>
      </c>
      <c r="G31" s="6" t="n">
        <v>-0.98</v>
      </c>
      <c r="H31" s="6" t="n">
        <v>0.83</v>
      </c>
      <c r="I31" s="7" t="n">
        <v>2.2327</v>
      </c>
      <c r="J31" s="7" t="n">
        <v>0.6781</v>
      </c>
      <c r="K31" s="7" t="n">
        <v>10.7218</v>
      </c>
      <c r="L31" s="7" t="n">
        <v>3.5361</v>
      </c>
    </row>
    <row r="32" customFormat="false" ht="15" hidden="false" customHeight="false" outlineLevel="0" collapsed="false">
      <c r="A32" s="6" t="s">
        <v>111</v>
      </c>
      <c r="B32" s="6" t="s">
        <v>107</v>
      </c>
      <c r="C32" s="6" t="s">
        <v>112</v>
      </c>
      <c r="D32" s="6" t="s">
        <v>107</v>
      </c>
      <c r="E32" s="6" t="s">
        <v>113</v>
      </c>
      <c r="F32" s="6" t="s">
        <v>110</v>
      </c>
      <c r="G32" s="6" t="n">
        <v>-1.07</v>
      </c>
      <c r="H32" s="6" t="n">
        <v>0.92</v>
      </c>
      <c r="I32" s="7" t="n">
        <v>0.926</v>
      </c>
      <c r="J32" s="7" t="n">
        <v>2.1375</v>
      </c>
      <c r="K32" s="7" t="n">
        <v>10.9125</v>
      </c>
      <c r="L32" s="7" t="n">
        <v>3.9069</v>
      </c>
    </row>
    <row r="33" customFormat="false" ht="15" hidden="false" customHeight="false" outlineLevel="0" collapsed="false">
      <c r="A33" s="6" t="s">
        <v>114</v>
      </c>
      <c r="B33" s="6" t="s">
        <v>115</v>
      </c>
      <c r="C33" s="6" t="s">
        <v>116</v>
      </c>
      <c r="D33" s="6" t="s">
        <v>107</v>
      </c>
      <c r="E33" s="6" t="s">
        <v>117</v>
      </c>
      <c r="F33" s="6" t="s">
        <v>118</v>
      </c>
      <c r="G33" s="6" t="n">
        <v>-1.05</v>
      </c>
      <c r="H33" s="6" t="n">
        <v>0.74</v>
      </c>
      <c r="I33" s="7" t="n">
        <v>3.0531</v>
      </c>
      <c r="J33" s="7" t="n">
        <v>1.5361</v>
      </c>
      <c r="K33" s="7" t="n">
        <v>10.5111</v>
      </c>
      <c r="L33" s="7" t="n">
        <v>3.1538</v>
      </c>
    </row>
    <row r="34" customFormat="false" ht="15" hidden="false" customHeight="false" outlineLevel="0" collapsed="false">
      <c r="A34" s="6" t="s">
        <v>119</v>
      </c>
      <c r="B34" s="6" t="s">
        <v>115</v>
      </c>
      <c r="C34" s="6" t="s">
        <v>120</v>
      </c>
      <c r="D34" s="6" t="s">
        <v>107</v>
      </c>
      <c r="E34" s="6" t="s">
        <v>121</v>
      </c>
      <c r="F34" s="6" t="s">
        <v>122</v>
      </c>
      <c r="G34" s="6" t="n">
        <v>-0.96</v>
      </c>
      <c r="H34" s="6" t="n">
        <v>0.85</v>
      </c>
      <c r="I34" s="7" t="n">
        <v>4.1938</v>
      </c>
      <c r="J34" s="7" t="n">
        <v>1.2016</v>
      </c>
      <c r="K34" s="7" t="n">
        <v>11.0879</v>
      </c>
      <c r="L34" s="7" t="n">
        <v>3.2928</v>
      </c>
    </row>
    <row r="35" customFormat="false" ht="15" hidden="false" customHeight="false" outlineLevel="0" collapsed="false">
      <c r="A35" s="6" t="s">
        <v>123</v>
      </c>
      <c r="B35" s="6" t="s">
        <v>115</v>
      </c>
      <c r="C35" s="6" t="s">
        <v>124</v>
      </c>
      <c r="D35" s="6" t="s">
        <v>107</v>
      </c>
      <c r="E35" s="6" t="s">
        <v>125</v>
      </c>
      <c r="F35" s="6" t="s">
        <v>122</v>
      </c>
      <c r="G35" s="6" t="n">
        <v>-1.16</v>
      </c>
      <c r="H35" s="6" t="n">
        <v>0.74</v>
      </c>
      <c r="I35" s="7" t="n">
        <v>3.0704</v>
      </c>
      <c r="J35" s="7" t="n">
        <v>0.848</v>
      </c>
      <c r="K35" s="7" t="n">
        <v>10.8566</v>
      </c>
      <c r="L35" s="7" t="n">
        <v>3.2928</v>
      </c>
    </row>
    <row r="37" customFormat="false" ht="39.75" hidden="false" customHeight="true" outlineLevel="0" collapsed="false">
      <c r="A37" s="8" t="s">
        <v>126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</sheetData>
  <mergeCells count="1">
    <mergeCell ref="A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6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38"/>
  </cols>
  <sheetData>
    <row r="1" customFormat="false" ht="15" hidden="false" customHeight="false" outlineLevel="0" collapsed="false">
      <c r="A1" s="9" t="s">
        <v>127</v>
      </c>
      <c r="B1" s="9"/>
      <c r="C1" s="9"/>
      <c r="D1" s="9"/>
      <c r="E1" s="9"/>
      <c r="F1" s="9"/>
      <c r="G1" s="9"/>
      <c r="H1" s="9"/>
    </row>
    <row r="3" customFormat="false" ht="23.85" hidden="false" customHeight="false" outlineLevel="0" collapsed="false">
      <c r="A3" s="1" t="s">
        <v>128</v>
      </c>
      <c r="B3" s="1" t="s">
        <v>129</v>
      </c>
      <c r="C3" s="1" t="s">
        <v>130</v>
      </c>
      <c r="D3" s="1" t="s">
        <v>131</v>
      </c>
      <c r="E3" s="1" t="s">
        <v>132</v>
      </c>
      <c r="F3" s="1" t="s">
        <v>133</v>
      </c>
      <c r="G3" s="1" t="s">
        <v>134</v>
      </c>
      <c r="H3" s="1" t="s">
        <v>135</v>
      </c>
    </row>
    <row r="4" customFormat="false" ht="15" hidden="false" customHeight="false" outlineLevel="0" collapsed="false">
      <c r="A4" s="10" t="s">
        <v>136</v>
      </c>
      <c r="B4" s="11" t="n">
        <f aca="false">COUNTIF(Datos_muestra!$B$2:$B$35,"adrn")</f>
        <v>22</v>
      </c>
      <c r="C4" s="11" t="n">
        <f aca="false">COUNTIF(Datos_muestra!$B$2:$B$35,"mes")</f>
        <v>7</v>
      </c>
      <c r="D4" s="12" t="n">
        <f aca="false">AVERAGEIF(Datos_muestra!$B$2:$B$35,"adrn",Datos_muestra!I2:I35)</f>
        <v>2.87386818181818</v>
      </c>
      <c r="E4" s="12" t="n">
        <f aca="false">AVERAGEIF(Datos_muestra!$B$2:$B$35,"mes",Datos_muestra!I2:I35)</f>
        <v>3.05034285714286</v>
      </c>
      <c r="F4" s="13" t="n">
        <f aca="false">TTEST(Datos_muestra!I2:I23,Datos_muestra!I24:I30,2,3)</f>
        <v>0.835856529855198</v>
      </c>
      <c r="G4" s="14" t="n">
        <v>1</v>
      </c>
      <c r="H4" s="15" t="s">
        <v>137</v>
      </c>
    </row>
    <row r="5" customFormat="false" ht="15" hidden="false" customHeight="false" outlineLevel="0" collapsed="false">
      <c r="A5" s="10" t="s">
        <v>138</v>
      </c>
      <c r="B5" s="11" t="n">
        <f aca="false">COUNTIF(Datos_muestra!$B$2:$B$35,"adrn")</f>
        <v>22</v>
      </c>
      <c r="C5" s="11" t="n">
        <f aca="false">COUNTIF(Datos_muestra!$B$2:$B$35,"mes")</f>
        <v>7</v>
      </c>
      <c r="D5" s="12" t="n">
        <f aca="false">AVERAGEIF(Datos_muestra!$B$2:$B$35,"adrn",Datos_muestra!J2:J35)</f>
        <v>2.94936818181818</v>
      </c>
      <c r="E5" s="12" t="n">
        <f aca="false">AVERAGEIF(Datos_muestra!$B$2:$B$35,"mes",Datos_muestra!J2:J35)</f>
        <v>3.26622857142857</v>
      </c>
      <c r="F5" s="13" t="n">
        <f aca="false">TTEST(Datos_muestra!J2:J23,Datos_muestra!J24:J30,2,3)</f>
        <v>0.755378112513708</v>
      </c>
      <c r="G5" s="14" t="n">
        <v>1</v>
      </c>
      <c r="H5" s="15" t="s">
        <v>137</v>
      </c>
    </row>
    <row r="6" customFormat="false" ht="15" hidden="false" customHeight="false" outlineLevel="0" collapsed="false">
      <c r="A6" s="10" t="s">
        <v>139</v>
      </c>
      <c r="B6" s="11" t="n">
        <f aca="false">COUNTIF(Datos_muestra!$B$2:$B$35,"adrn")</f>
        <v>22</v>
      </c>
      <c r="C6" s="11" t="n">
        <f aca="false">COUNTIF(Datos_muestra!$B$2:$B$35,"mes")</f>
        <v>7</v>
      </c>
      <c r="D6" s="12" t="n">
        <f aca="false">AVERAGEIF(Datos_muestra!$B$2:$B$35,"adrn",Datos_muestra!K2:K35)</f>
        <v>2.9384</v>
      </c>
      <c r="E6" s="12" t="n">
        <f aca="false">AVERAGEIF(Datos_muestra!$B$2:$B$35,"mes",Datos_muestra!K2:K35)</f>
        <v>6.42361428571429</v>
      </c>
      <c r="F6" s="13" t="n">
        <f aca="false">TTEST(Datos_muestra!K2:K23,Datos_muestra!K24:K30,2,3)</f>
        <v>0.0344723275507332</v>
      </c>
      <c r="G6" s="14" t="n">
        <v>0.207</v>
      </c>
      <c r="H6" s="15" t="s">
        <v>137</v>
      </c>
    </row>
    <row r="7" customFormat="false" ht="15" hidden="false" customHeight="false" outlineLevel="0" collapsed="false">
      <c r="A7" s="10" t="s">
        <v>140</v>
      </c>
      <c r="B7" s="11" t="n">
        <f aca="false">COUNTIF(Datos_muestra!$B$2:$B$35,"adrn")</f>
        <v>22</v>
      </c>
      <c r="C7" s="11" t="n">
        <f aca="false">COUNTIF(Datos_muestra!$B$2:$B$35,"mes")</f>
        <v>7</v>
      </c>
      <c r="D7" s="12" t="n">
        <f aca="false">AVERAGEIF(Datos_muestra!$B$2:$B$35,"adrn",Datos_muestra!L2:L35)</f>
        <v>11.4132</v>
      </c>
      <c r="E7" s="12" t="n">
        <f aca="false">AVERAGEIF(Datos_muestra!$B$2:$B$35,"mes",Datos_muestra!L2:L35)</f>
        <v>8.01447142857143</v>
      </c>
      <c r="F7" s="13" t="n">
        <f aca="false">TTEST(Datos_muestra!L2:L23,Datos_muestra!L24:L30,2,3)</f>
        <v>0.10355802657237</v>
      </c>
      <c r="G7" s="14" t="n">
        <v>0.621</v>
      </c>
      <c r="H7" s="15" t="s">
        <v>137</v>
      </c>
    </row>
    <row r="9" customFormat="false" ht="69.75" hidden="false" customHeight="true" outlineLevel="0" collapsed="false">
      <c r="A9" s="8" t="s">
        <v>141</v>
      </c>
      <c r="B9" s="8"/>
      <c r="C9" s="8"/>
      <c r="D9" s="8"/>
      <c r="E9" s="8"/>
      <c r="F9" s="8"/>
      <c r="G9" s="8"/>
      <c r="H9" s="8"/>
    </row>
  </sheetData>
  <mergeCells count="2">
    <mergeCell ref="A1:H1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2026-09-16T16:03:51Z</dcterms:created>
  <dc:creator>openpyxl</dc:creator>
  <dc:description/>
  <dc:language>en-US</dc:language>
  <cp:lastModifiedBy/>
  <dcterms:modified xsi:type="dcterms:W3CDTF">2026-09-16T16:03:52Z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